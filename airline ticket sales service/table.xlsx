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A:\Мои документы\работа\поиск работы 2024 в DS\KaspiKZ\"/>
    </mc:Choice>
  </mc:AlternateContent>
  <xr:revisionPtr revIDLastSave="0" documentId="13_ncr:1_{1C102BA0-EA9C-49E6-8FB3-793F927CD97E}" xr6:coauthVersionLast="47" xr6:coauthVersionMax="47" xr10:uidLastSave="{00000000-0000-0000-0000-000000000000}"/>
  <bookViews>
    <workbookView xWindow="-120" yWindow="-120" windowWidth="29040" windowHeight="15840" tabRatio="573" xr2:uid="{00000000-000D-0000-FFFF-FFFF00000000}"/>
  </bookViews>
  <sheets>
    <sheet name="Лист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8" i="2" l="1"/>
  <c r="V7" i="2"/>
  <c r="V6" i="2"/>
  <c r="V5" i="2"/>
  <c r="W13" i="2"/>
  <c r="V13" i="2"/>
  <c r="U13" i="2"/>
  <c r="T13" i="2"/>
  <c r="S13" i="2"/>
  <c r="R13" i="2"/>
  <c r="Q13" i="2"/>
  <c r="P13" i="2"/>
  <c r="O13" i="2"/>
  <c r="AA7" i="2" s="1"/>
  <c r="W12" i="2"/>
  <c r="V12" i="2"/>
  <c r="U12" i="2"/>
  <c r="T12" i="2"/>
  <c r="S12" i="2"/>
  <c r="R12" i="2"/>
  <c r="Q12" i="2"/>
  <c r="P12" i="2"/>
  <c r="O12" i="2"/>
  <c r="W11" i="2"/>
  <c r="V11" i="2"/>
  <c r="U11" i="2"/>
  <c r="T11" i="2"/>
  <c r="S11" i="2"/>
  <c r="R11" i="2"/>
  <c r="Q11" i="2"/>
  <c r="P11" i="2"/>
  <c r="O11" i="2"/>
  <c r="W8" i="2"/>
  <c r="U8" i="2"/>
  <c r="T8" i="2"/>
  <c r="S8" i="2"/>
  <c r="R8" i="2"/>
  <c r="Q8" i="2"/>
  <c r="P8" i="2"/>
  <c r="O8" i="2"/>
  <c r="W7" i="2"/>
  <c r="U7" i="2"/>
  <c r="T7" i="2"/>
  <c r="S7" i="2"/>
  <c r="R7" i="2"/>
  <c r="Q7" i="2"/>
  <c r="P7" i="2"/>
  <c r="Z7" i="2" s="1"/>
  <c r="O7" i="2"/>
  <c r="W6" i="2"/>
  <c r="U6" i="2"/>
  <c r="T6" i="2"/>
  <c r="S6" i="2"/>
  <c r="R6" i="2"/>
  <c r="Q6" i="2"/>
  <c r="P6" i="2"/>
  <c r="Z6" i="2" s="1"/>
  <c r="O6" i="2"/>
  <c r="AA6" i="2" s="1"/>
  <c r="W5" i="2"/>
  <c r="U5" i="2"/>
  <c r="T5" i="2"/>
  <c r="S5" i="2"/>
  <c r="R5" i="2"/>
  <c r="Q5" i="2"/>
  <c r="P5" i="2"/>
  <c r="O5" i="2"/>
  <c r="W4" i="2"/>
  <c r="V4" i="2"/>
  <c r="U4" i="2"/>
  <c r="T4" i="2"/>
  <c r="S4" i="2"/>
  <c r="R4" i="2"/>
  <c r="Q4" i="2"/>
  <c r="P4" i="2"/>
  <c r="O4" i="2"/>
  <c r="AA4" i="2" s="1"/>
  <c r="AA8" i="2" l="1"/>
  <c r="AA5" i="2"/>
  <c r="Y4" i="2"/>
  <c r="Y5" i="2"/>
  <c r="Y6" i="2"/>
  <c r="Y7" i="2"/>
  <c r="Y8" i="2"/>
  <c r="Z4" i="2"/>
  <c r="Z5" i="2"/>
  <c r="Z8" i="2"/>
  <c r="AA13" i="2" l="1"/>
  <c r="Y13" i="2"/>
  <c r="Z13" i="2"/>
</calcChain>
</file>

<file path=xl/sharedStrings.xml><?xml version="1.0" encoding="utf-8"?>
<sst xmlns="http://schemas.openxmlformats.org/spreadsheetml/2006/main" count="40" uniqueCount="27">
  <si>
    <t>№ п/п</t>
  </si>
  <si>
    <t>Целевая аудитория</t>
  </si>
  <si>
    <t>Доля в общем кол-ве покупок</t>
  </si>
  <si>
    <t>командировочные</t>
  </si>
  <si>
    <t>работающие в одном городе и летающие домой в другой город раз в неделю/в месяц</t>
  </si>
  <si>
    <t>отпускники</t>
  </si>
  <si>
    <t>любители путешествовать по разным городам на выходные/продолжительные праздники</t>
  </si>
  <si>
    <t>перелёты по экстренному случаю (свадьба/похороны)</t>
  </si>
  <si>
    <t>Цена</t>
  </si>
  <si>
    <t>Страна / город</t>
  </si>
  <si>
    <t>Акции / Скидки</t>
  </si>
  <si>
    <t>Возможность возврата билета</t>
  </si>
  <si>
    <t>Удобство приложения / Информативность / Дизайн</t>
  </si>
  <si>
    <t>Авиакомпания / Модель самолёта</t>
  </si>
  <si>
    <t>Карта цен</t>
  </si>
  <si>
    <t>Группировка рейсов</t>
  </si>
  <si>
    <t>Подписка на цену</t>
  </si>
  <si>
    <t>Дата</t>
  </si>
  <si>
    <t>Время</t>
  </si>
  <si>
    <t>Срочность получения информации</t>
  </si>
  <si>
    <t>Критерий выбора билетов (10-важно, 1-неважно)</t>
  </si>
  <si>
    <t>Новый функционал</t>
  </si>
  <si>
    <t>Уровень закрытия  критерия функционалом (10-закрывает, 1-не закрывает)</t>
  </si>
  <si>
    <t>Уровень закрытия  критерия функционалом (масштабированный по вертикали)</t>
  </si>
  <si>
    <t>Критерий выбора билетов (масштабированный по горизонтали)</t>
  </si>
  <si>
    <t>Востребованность функционала
(для среднестатистического покупателя)</t>
  </si>
  <si>
    <t>Востребованность функционала
(Уровень закрытия всех критериев функ-ом для определённого типа покупателей)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</si>
</sst>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_₽"/>
  </numFmts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  <xf numFmtId="2" fontId="0" fillId="0" borderId="0" xfId="0" applyNumberFormat="1"/>
    <xf numFmtId="2" fontId="0" fillId="2" borderId="0" xfId="0" applyNumberFormat="1" applyFill="1"/>
    <xf numFmtId="2" fontId="0" fillId="2" borderId="0" xfId="0" applyNumberFormat="1" applyFill="1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  <xf numFmtId="164" fontId="0" fillId="0" borderId="0" xfId="0" applyNumberFormat="1"/>
    <xf numFmtId="164" fontId="0" fillId="0" borderId="0" xfId="0" applyNumberFormat="1" applyAlignment="1">
      <alignment wrapText="1"/>
    </xf>
    <xf numFmtId="0" fontId="0" fillId="4" borderId="0" xfId="0" applyFill="1" applyAlignment="1">
      <alignment wrapText="1"/>
    </xf>
    <xf numFmtId="2" fontId="0" fillId="4" borderId="0" xfId="0" applyNumberFormat="1" applyFill="1" applyAlignment="1">
      <alignment wrapText="1"/>
    </xf>
    <xf numFmtId="164" fontId="0" fillId="4" borderId="0" xfId="0" applyNumberFormat="1" applyFill="1" applyAlignment="1">
      <alignment wrapText="1"/>
    </xf>
    <xf numFmtId="1" fontId="0" fillId="0" borderId="0" xfId="0" applyNumberFormat="1"/>
    <xf numFmtId="1" fontId="0" fillId="0" borderId="0" xfId="0" applyNumberFormat="1" applyAlignment="1">
      <alignment wrapText="1"/>
    </xf>
    <xf numFmtId="1" fontId="0" fillId="4" borderId="0" xfId="0" applyNumberFormat="1" applyFill="1" applyAlignment="1">
      <alignment wrapText="1"/>
    </xf>
    <xf numFmtId="0" fontId="0" fillId="4" borderId="0" xfId="0" applyFill="1"/>
    <xf numFmtId="2" fontId="0" fillId="4" borderId="0" xfId="0" applyNumberFormat="1" applyFill="1"/>
    <xf numFmtId="1" fontId="0" fillId="4" borderId="0" xfId="0" applyNumberFormat="1" applyFill="1"/>
    <xf numFmtId="164" fontId="0" fillId="4" borderId="0" xfId="0" applyNumberFormat="1" applyFill="1"/>
    <xf numFmtId="0" fontId="0" fillId="5" borderId="0" xfId="0" applyFill="1"/>
    <xf numFmtId="0" fontId="0" fillId="5" borderId="0" xfId="0" applyFill="1" applyAlignment="1">
      <alignment wrapText="1"/>
    </xf>
    <xf numFmtId="2" fontId="1" fillId="0" borderId="1" xfId="0" applyNumberFormat="1" applyFont="1" applyBorder="1"/>
    <xf numFmtId="2" fontId="1" fillId="0" borderId="2" xfId="0" applyNumberFormat="1" applyFont="1" applyBorder="1"/>
    <xf numFmtId="2" fontId="1" fillId="0" borderId="3" xfId="0" applyNumberFormat="1" applyFont="1" applyBorder="1"/>
    <xf numFmtId="2" fontId="0" fillId="0" borderId="0" xfId="0" applyNumberFormat="1" applyAlignment="1">
      <alignment horizontal="center" wrapText="1"/>
    </xf>
    <xf numFmtId="2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2EA2B-5C40-4FF7-94E1-19D70881D90A}">
  <dimension ref="A1:AA13"/>
  <sheetViews>
    <sheetView tabSelected="1" zoomScaleNormal="100" workbookViewId="0">
      <selection activeCell="B19" sqref="B19"/>
    </sheetView>
  </sheetViews>
  <sheetFormatPr defaultRowHeight="15" x14ac:dyDescent="0.25"/>
  <cols>
    <col min="1" max="1" width="4.7109375" style="1" customWidth="1"/>
    <col min="2" max="2" width="44.42578125" style="1" customWidth="1"/>
    <col min="3" max="3" width="11.5703125" style="3" customWidth="1"/>
    <col min="4" max="4" width="1.42578125" style="4" customWidth="1"/>
    <col min="5" max="5" width="6.28515625" style="13" customWidth="1"/>
    <col min="6" max="6" width="6.5703125" style="13" customWidth="1"/>
    <col min="7" max="7" width="5.7109375" style="13" customWidth="1"/>
    <col min="8" max="8" width="8" style="13" customWidth="1"/>
    <col min="9" max="9" width="8.5703125" style="13" customWidth="1"/>
    <col min="10" max="10" width="10.140625" style="13" customWidth="1"/>
    <col min="11" max="11" width="13.28515625" style="13" customWidth="1"/>
    <col min="12" max="12" width="12.5703125" style="13" customWidth="1"/>
    <col min="13" max="13" width="9.140625" style="13"/>
    <col min="14" max="14" width="1.28515625" style="6" customWidth="1"/>
    <col min="15" max="15" width="6.42578125" customWidth="1"/>
    <col min="16" max="16" width="7.42578125" customWidth="1"/>
    <col min="17" max="17" width="7" style="8" customWidth="1"/>
    <col min="18" max="18" width="7.85546875" style="8" customWidth="1"/>
    <col min="19" max="19" width="8.85546875" style="8" customWidth="1"/>
    <col min="20" max="20" width="10.140625" style="8" customWidth="1"/>
    <col min="21" max="21" width="13.7109375" style="8" customWidth="1"/>
    <col min="22" max="22" width="12.5703125" style="8" customWidth="1"/>
    <col min="23" max="23" width="9.140625" style="8"/>
    <col min="24" max="24" width="1.28515625" style="20" customWidth="1"/>
    <col min="25" max="27" width="13" style="3" customWidth="1"/>
  </cols>
  <sheetData>
    <row r="1" spans="1:27" ht="45" customHeight="1" x14ac:dyDescent="0.25">
      <c r="E1" s="13" t="s">
        <v>20</v>
      </c>
      <c r="O1" s="8" t="s">
        <v>24</v>
      </c>
      <c r="Y1" s="25" t="s">
        <v>26</v>
      </c>
      <c r="Z1" s="26"/>
      <c r="AA1" s="26"/>
    </row>
    <row r="2" spans="1:27" s="1" customFormat="1" ht="120" x14ac:dyDescent="0.25">
      <c r="A2" s="1" t="s">
        <v>0</v>
      </c>
      <c r="B2" s="1" t="s">
        <v>1</v>
      </c>
      <c r="C2" s="2" t="s">
        <v>2</v>
      </c>
      <c r="D2" s="5"/>
      <c r="E2" s="14" t="s">
        <v>17</v>
      </c>
      <c r="F2" s="14" t="s">
        <v>18</v>
      </c>
      <c r="G2" s="14" t="s">
        <v>8</v>
      </c>
      <c r="H2" s="14" t="s">
        <v>10</v>
      </c>
      <c r="I2" s="14" t="s">
        <v>9</v>
      </c>
      <c r="J2" s="14" t="s">
        <v>13</v>
      </c>
      <c r="K2" s="14" t="s">
        <v>11</v>
      </c>
      <c r="L2" s="14" t="s">
        <v>19</v>
      </c>
      <c r="M2" s="14" t="s">
        <v>12</v>
      </c>
      <c r="N2" s="7"/>
      <c r="O2" s="14" t="s">
        <v>17</v>
      </c>
      <c r="P2" s="14" t="s">
        <v>18</v>
      </c>
      <c r="Q2" s="9" t="s">
        <v>8</v>
      </c>
      <c r="R2" s="9" t="s">
        <v>10</v>
      </c>
      <c r="S2" s="9" t="s">
        <v>9</v>
      </c>
      <c r="T2" s="9" t="s">
        <v>13</v>
      </c>
      <c r="U2" s="9" t="s">
        <v>11</v>
      </c>
      <c r="V2" s="14" t="s">
        <v>19</v>
      </c>
      <c r="W2" s="9" t="s">
        <v>12</v>
      </c>
      <c r="X2" s="21"/>
      <c r="Y2" s="2" t="s">
        <v>14</v>
      </c>
      <c r="Z2" s="2" t="s">
        <v>15</v>
      </c>
      <c r="AA2" s="2" t="s">
        <v>16</v>
      </c>
    </row>
    <row r="3" spans="1:27" s="10" customFormat="1" ht="7.5" customHeight="1" x14ac:dyDescent="0.25">
      <c r="C3" s="11"/>
      <c r="D3" s="11"/>
      <c r="E3" s="15"/>
      <c r="F3" s="15"/>
      <c r="G3" s="15"/>
      <c r="H3" s="15"/>
      <c r="I3" s="15"/>
      <c r="J3" s="15"/>
      <c r="K3" s="15"/>
      <c r="L3" s="15"/>
      <c r="M3" s="15"/>
      <c r="Q3" s="12"/>
      <c r="R3" s="12"/>
      <c r="S3" s="12"/>
      <c r="T3" s="12"/>
      <c r="U3" s="12"/>
      <c r="V3" s="12"/>
      <c r="W3" s="12"/>
      <c r="X3" s="21"/>
      <c r="Y3" s="11"/>
      <c r="Z3" s="11"/>
      <c r="AA3" s="11"/>
    </row>
    <row r="4" spans="1:27" x14ac:dyDescent="0.25">
      <c r="A4" s="1">
        <v>1</v>
      </c>
      <c r="B4" s="1" t="s">
        <v>3</v>
      </c>
      <c r="C4" s="3">
        <v>0.3</v>
      </c>
      <c r="E4" s="13">
        <v>8</v>
      </c>
      <c r="F4" s="13">
        <v>5</v>
      </c>
      <c r="G4" s="13">
        <v>4</v>
      </c>
      <c r="H4" s="13">
        <v>2</v>
      </c>
      <c r="I4" s="13">
        <v>10</v>
      </c>
      <c r="J4" s="13">
        <v>5</v>
      </c>
      <c r="K4" s="13">
        <v>3</v>
      </c>
      <c r="L4" s="13">
        <v>9</v>
      </c>
      <c r="M4" s="13">
        <v>2</v>
      </c>
      <c r="O4" s="8">
        <f t="shared" ref="O4:W4" si="0">E4/SUM($E4:$M4)</f>
        <v>0.16666666666666666</v>
      </c>
      <c r="P4" s="8">
        <f t="shared" si="0"/>
        <v>0.10416666666666667</v>
      </c>
      <c r="Q4" s="8">
        <f t="shared" si="0"/>
        <v>8.3333333333333329E-2</v>
      </c>
      <c r="R4" s="8">
        <f t="shared" si="0"/>
        <v>4.1666666666666664E-2</v>
      </c>
      <c r="S4" s="8">
        <f t="shared" si="0"/>
        <v>0.20833333333333334</v>
      </c>
      <c r="T4" s="8">
        <f t="shared" si="0"/>
        <v>0.10416666666666667</v>
      </c>
      <c r="U4" s="8">
        <f t="shared" si="0"/>
        <v>6.25E-2</v>
      </c>
      <c r="V4" s="8">
        <f t="shared" si="0"/>
        <v>0.1875</v>
      </c>
      <c r="W4" s="8">
        <f t="shared" si="0"/>
        <v>4.1666666666666664E-2</v>
      </c>
      <c r="Y4" s="3">
        <f>$O4*$O$11+$P4*$P$11+$Q4*$Q$11+$R4*$R$11+$S4*$S$11+$T4*$T$11+$U4*$U$11+$V4*$V$11+$W4*$W$11</f>
        <v>0.28380924630924631</v>
      </c>
      <c r="Z4" s="3">
        <f>$O4*$O$12+$P4*$P$12+$Q4*$Q$12+$R4*$R$12+$S4*$S$12+$T4*$T$12+$U4*$U$12+$V4*$V$12+$W4*$W$12</f>
        <v>0.39692113442113436</v>
      </c>
      <c r="AA4" s="3">
        <f>$O4*$O$13+$P4*$P$13+$Q4*$Q$13+$R4*$R$13+$S4*$S$13+$T4*$T$13+$U4*$U$13+$V4*$V$13+$W4*$W$13</f>
        <v>0.31926961926961922</v>
      </c>
    </row>
    <row r="5" spans="1:27" ht="30" x14ac:dyDescent="0.25">
      <c r="A5" s="1">
        <v>2</v>
      </c>
      <c r="B5" s="1" t="s">
        <v>4</v>
      </c>
      <c r="C5" s="3">
        <v>0.1</v>
      </c>
      <c r="E5" s="13">
        <v>7</v>
      </c>
      <c r="F5" s="13">
        <v>7</v>
      </c>
      <c r="G5" s="13">
        <v>7</v>
      </c>
      <c r="H5" s="13">
        <v>7</v>
      </c>
      <c r="I5" s="13">
        <v>10</v>
      </c>
      <c r="J5" s="13">
        <v>5</v>
      </c>
      <c r="K5" s="13">
        <v>3</v>
      </c>
      <c r="L5" s="13">
        <v>5</v>
      </c>
      <c r="M5" s="13">
        <v>2</v>
      </c>
      <c r="O5" s="8">
        <f t="shared" ref="O5:V8" si="1">E5/SUM($E5:$M5)</f>
        <v>0.13207547169811321</v>
      </c>
      <c r="P5" s="8">
        <f t="shared" si="1"/>
        <v>0.13207547169811321</v>
      </c>
      <c r="Q5" s="8">
        <f t="shared" si="1"/>
        <v>0.13207547169811321</v>
      </c>
      <c r="R5" s="8">
        <f t="shared" si="1"/>
        <v>0.13207547169811321</v>
      </c>
      <c r="S5" s="8">
        <f t="shared" si="1"/>
        <v>0.18867924528301888</v>
      </c>
      <c r="T5" s="8">
        <f t="shared" si="1"/>
        <v>9.4339622641509441E-2</v>
      </c>
      <c r="U5" s="8">
        <f t="shared" si="1"/>
        <v>5.6603773584905662E-2</v>
      </c>
      <c r="V5" s="8">
        <f t="shared" si="1"/>
        <v>9.4339622641509441E-2</v>
      </c>
      <c r="W5" s="8">
        <f>M5/SUM($E5:$M5)</f>
        <v>3.7735849056603772E-2</v>
      </c>
      <c r="Y5" s="3">
        <f t="shared" ref="Y5:Y8" si="2">$O5*$O$11+$P5*$P$11+$Q5*$Q$11+$R5*$R$11+$S5*$S$11+$T5*$T$11+$U5*$U$11+$V5*$V$11+$W5*$W$11</f>
        <v>0.25489730395390775</v>
      </c>
      <c r="Z5" s="3">
        <f t="shared" ref="Z5:Z8" si="3">$O5*$O$12+$P5*$P$12+$Q5*$Q$12+$R5*$R$12+$S5*$S$12+$T5*$T$12+$U5*$U$12+$V5*$V$12+$W5*$W$12</f>
        <v>0.39399217135066195</v>
      </c>
      <c r="AA5" s="3">
        <f t="shared" ref="AA5:AA8" si="4">$O5*$O$13+$P5*$P$13+$Q5*$Q$13+$R5*$R$13+$S5*$S$13+$T5*$T$13+$U5*$U$13+$V5*$V$13+$W5*$W$13</f>
        <v>0.3511105246954303</v>
      </c>
    </row>
    <row r="6" spans="1:27" x14ac:dyDescent="0.25">
      <c r="A6" s="1">
        <v>3</v>
      </c>
      <c r="B6" s="1" t="s">
        <v>5</v>
      </c>
      <c r="C6" s="3">
        <v>0.4</v>
      </c>
      <c r="E6" s="13">
        <v>7</v>
      </c>
      <c r="F6" s="13">
        <v>6</v>
      </c>
      <c r="G6" s="13">
        <v>8</v>
      </c>
      <c r="H6" s="13">
        <v>7</v>
      </c>
      <c r="I6" s="13">
        <v>8</v>
      </c>
      <c r="J6" s="13">
        <v>4</v>
      </c>
      <c r="K6" s="13">
        <v>3</v>
      </c>
      <c r="L6" s="13">
        <v>5</v>
      </c>
      <c r="M6" s="13">
        <v>2</v>
      </c>
      <c r="O6" s="8">
        <f t="shared" si="1"/>
        <v>0.14000000000000001</v>
      </c>
      <c r="P6" s="8">
        <f t="shared" si="1"/>
        <v>0.12</v>
      </c>
      <c r="Q6" s="8">
        <f t="shared" si="1"/>
        <v>0.16</v>
      </c>
      <c r="R6" s="8">
        <f t="shared" si="1"/>
        <v>0.14000000000000001</v>
      </c>
      <c r="S6" s="8">
        <f t="shared" si="1"/>
        <v>0.16</v>
      </c>
      <c r="T6" s="8">
        <f t="shared" si="1"/>
        <v>0.08</v>
      </c>
      <c r="U6" s="8">
        <f t="shared" si="1"/>
        <v>0.06</v>
      </c>
      <c r="V6" s="8">
        <f t="shared" si="1"/>
        <v>0.1</v>
      </c>
      <c r="W6" s="8">
        <f>M6/SUM($E6:$M6)</f>
        <v>0.04</v>
      </c>
      <c r="Y6" s="3">
        <f t="shared" si="2"/>
        <v>0.25503962703962707</v>
      </c>
      <c r="Z6" s="3">
        <f t="shared" si="3"/>
        <v>0.3952074592074592</v>
      </c>
      <c r="AA6" s="3">
        <f t="shared" si="4"/>
        <v>0.34975291375291373</v>
      </c>
    </row>
    <row r="7" spans="1:27" ht="32.25" customHeight="1" x14ac:dyDescent="0.25">
      <c r="A7" s="1">
        <v>4</v>
      </c>
      <c r="B7" s="1" t="s">
        <v>6</v>
      </c>
      <c r="C7" s="3">
        <v>0.15</v>
      </c>
      <c r="E7" s="13">
        <v>5</v>
      </c>
      <c r="F7" s="13">
        <v>5</v>
      </c>
      <c r="G7" s="13">
        <v>9</v>
      </c>
      <c r="H7" s="13">
        <v>10</v>
      </c>
      <c r="I7" s="13">
        <v>5</v>
      </c>
      <c r="J7" s="13">
        <v>4</v>
      </c>
      <c r="K7" s="13">
        <v>2</v>
      </c>
      <c r="L7" s="13">
        <v>3</v>
      </c>
      <c r="M7" s="13">
        <v>2</v>
      </c>
      <c r="O7" s="8">
        <f t="shared" si="1"/>
        <v>0.1111111111111111</v>
      </c>
      <c r="P7" s="8">
        <f t="shared" si="1"/>
        <v>0.1111111111111111</v>
      </c>
      <c r="Q7" s="8">
        <f t="shared" si="1"/>
        <v>0.2</v>
      </c>
      <c r="R7" s="8">
        <f t="shared" si="1"/>
        <v>0.22222222222222221</v>
      </c>
      <c r="S7" s="8">
        <f t="shared" si="1"/>
        <v>0.1111111111111111</v>
      </c>
      <c r="T7" s="8">
        <f t="shared" si="1"/>
        <v>8.8888888888888892E-2</v>
      </c>
      <c r="U7" s="8">
        <f t="shared" si="1"/>
        <v>4.4444444444444446E-2</v>
      </c>
      <c r="V7" s="8">
        <f t="shared" si="1"/>
        <v>6.6666666666666666E-2</v>
      </c>
      <c r="W7" s="8">
        <f>M7/SUM($E7:$M7)</f>
        <v>4.4444444444444446E-2</v>
      </c>
      <c r="Y7" s="3">
        <f t="shared" si="2"/>
        <v>0.2410981610981611</v>
      </c>
      <c r="Z7" s="3">
        <f t="shared" si="3"/>
        <v>0.39662263662263669</v>
      </c>
      <c r="AA7" s="3">
        <f t="shared" si="4"/>
        <v>0.36227920227920235</v>
      </c>
    </row>
    <row r="8" spans="1:27" ht="30" x14ac:dyDescent="0.25">
      <c r="A8" s="1">
        <v>5</v>
      </c>
      <c r="B8" s="1" t="s">
        <v>7</v>
      </c>
      <c r="C8" s="3">
        <v>0.05</v>
      </c>
      <c r="E8" s="13">
        <v>10</v>
      </c>
      <c r="F8" s="13">
        <v>8</v>
      </c>
      <c r="G8" s="13">
        <v>3</v>
      </c>
      <c r="H8" s="13">
        <v>4</v>
      </c>
      <c r="I8" s="13">
        <v>10</v>
      </c>
      <c r="J8" s="13">
        <v>4</v>
      </c>
      <c r="K8" s="13">
        <v>2</v>
      </c>
      <c r="L8" s="13">
        <v>9</v>
      </c>
      <c r="M8" s="13">
        <v>2</v>
      </c>
      <c r="O8" s="8">
        <f t="shared" si="1"/>
        <v>0.19230769230769232</v>
      </c>
      <c r="P8" s="8">
        <f t="shared" si="1"/>
        <v>0.15384615384615385</v>
      </c>
      <c r="Q8" s="8">
        <f t="shared" si="1"/>
        <v>5.7692307692307696E-2</v>
      </c>
      <c r="R8" s="8">
        <f t="shared" si="1"/>
        <v>7.6923076923076927E-2</v>
      </c>
      <c r="S8" s="8">
        <f t="shared" si="1"/>
        <v>0.19230769230769232</v>
      </c>
      <c r="T8" s="8">
        <f t="shared" si="1"/>
        <v>7.6923076923076927E-2</v>
      </c>
      <c r="U8" s="8">
        <f t="shared" si="1"/>
        <v>3.8461538461538464E-2</v>
      </c>
      <c r="V8" s="8">
        <f t="shared" si="1"/>
        <v>0.17307692307692307</v>
      </c>
      <c r="W8" s="8">
        <f>M8/SUM($E8:$M8)</f>
        <v>3.8461538461538464E-2</v>
      </c>
      <c r="Y8" s="3">
        <f t="shared" si="2"/>
        <v>0.27087143625605165</v>
      </c>
      <c r="Z8" s="3">
        <f t="shared" si="3"/>
        <v>0.40040344271113504</v>
      </c>
      <c r="AA8" s="3">
        <f t="shared" si="4"/>
        <v>0.32872512103281337</v>
      </c>
    </row>
    <row r="9" spans="1:27" s="16" customFormat="1" ht="9" customHeight="1" x14ac:dyDescent="0.25">
      <c r="A9" s="10"/>
      <c r="B9" s="10"/>
      <c r="C9" s="17"/>
      <c r="D9" s="17"/>
      <c r="E9" s="18"/>
      <c r="F9" s="18"/>
      <c r="G9" s="18"/>
      <c r="H9" s="18"/>
      <c r="I9" s="18"/>
      <c r="J9" s="18"/>
      <c r="K9" s="18"/>
      <c r="L9" s="18"/>
      <c r="M9" s="18"/>
      <c r="O9" s="19"/>
      <c r="P9" s="19"/>
      <c r="Q9" s="19"/>
      <c r="R9" s="19"/>
      <c r="S9" s="19"/>
      <c r="T9" s="19"/>
      <c r="U9" s="19"/>
      <c r="V9" s="19"/>
      <c r="W9" s="19"/>
      <c r="X9" s="20"/>
      <c r="Y9" s="17"/>
      <c r="Z9" s="17"/>
      <c r="AA9" s="17"/>
    </row>
    <row r="10" spans="1:27" ht="43.5" customHeight="1" x14ac:dyDescent="0.25">
      <c r="A10" s="1" t="s">
        <v>0</v>
      </c>
      <c r="B10" s="1" t="s">
        <v>21</v>
      </c>
      <c r="E10" s="13" t="s">
        <v>22</v>
      </c>
      <c r="O10" s="13" t="s">
        <v>23</v>
      </c>
      <c r="P10" s="8"/>
      <c r="Y10" s="25" t="s">
        <v>25</v>
      </c>
      <c r="Z10" s="25"/>
      <c r="AA10" s="25"/>
    </row>
    <row r="11" spans="1:27" x14ac:dyDescent="0.25">
      <c r="A11" s="1">
        <v>1</v>
      </c>
      <c r="B11" s="1" t="s">
        <v>14</v>
      </c>
      <c r="E11" s="13">
        <v>6</v>
      </c>
      <c r="F11" s="13">
        <v>2</v>
      </c>
      <c r="G11" s="13">
        <v>5</v>
      </c>
      <c r="H11" s="13">
        <v>3</v>
      </c>
      <c r="I11" s="13">
        <v>10</v>
      </c>
      <c r="J11" s="13">
        <v>5</v>
      </c>
      <c r="K11" s="13">
        <v>1</v>
      </c>
      <c r="L11" s="13">
        <v>10</v>
      </c>
      <c r="M11" s="13">
        <v>7</v>
      </c>
      <c r="O11" s="8">
        <f t="shared" ref="O11:W13" si="5">E11/SUM(E$11:E$13)</f>
        <v>0.23076923076923078</v>
      </c>
      <c r="P11" s="8">
        <f t="shared" si="5"/>
        <v>9.0909090909090912E-2</v>
      </c>
      <c r="Q11" s="8">
        <f t="shared" si="5"/>
        <v>0.2</v>
      </c>
      <c r="R11" s="8">
        <f t="shared" si="5"/>
        <v>0.23076923076923078</v>
      </c>
      <c r="S11" s="8">
        <f t="shared" si="5"/>
        <v>0.33333333333333331</v>
      </c>
      <c r="T11" s="8">
        <f t="shared" si="5"/>
        <v>0.2</v>
      </c>
      <c r="U11" s="8">
        <f t="shared" si="5"/>
        <v>0.33333333333333331</v>
      </c>
      <c r="V11" s="8">
        <f t="shared" si="5"/>
        <v>0.45454545454545453</v>
      </c>
      <c r="W11" s="8">
        <f t="shared" si="5"/>
        <v>0.31818181818181818</v>
      </c>
    </row>
    <row r="12" spans="1:27" ht="15.75" thickBot="1" x14ac:dyDescent="0.3">
      <c r="A12" s="1">
        <v>2</v>
      </c>
      <c r="B12" s="1" t="s">
        <v>15</v>
      </c>
      <c r="E12" s="13">
        <v>10</v>
      </c>
      <c r="F12" s="13">
        <v>10</v>
      </c>
      <c r="G12" s="13">
        <v>10</v>
      </c>
      <c r="H12" s="13">
        <v>5</v>
      </c>
      <c r="I12" s="13">
        <v>10</v>
      </c>
      <c r="J12" s="13">
        <v>10</v>
      </c>
      <c r="K12" s="13">
        <v>1</v>
      </c>
      <c r="L12" s="13">
        <v>10</v>
      </c>
      <c r="M12" s="13">
        <v>10</v>
      </c>
      <c r="O12" s="8">
        <f t="shared" si="5"/>
        <v>0.38461538461538464</v>
      </c>
      <c r="P12" s="8">
        <f t="shared" si="5"/>
        <v>0.45454545454545453</v>
      </c>
      <c r="Q12" s="8">
        <f t="shared" si="5"/>
        <v>0.4</v>
      </c>
      <c r="R12" s="8">
        <f t="shared" si="5"/>
        <v>0.38461538461538464</v>
      </c>
      <c r="S12" s="8">
        <f t="shared" si="5"/>
        <v>0.33333333333333331</v>
      </c>
      <c r="T12" s="8">
        <f t="shared" si="5"/>
        <v>0.4</v>
      </c>
      <c r="U12" s="8">
        <f t="shared" si="5"/>
        <v>0.33333333333333331</v>
      </c>
      <c r="V12" s="8">
        <f t="shared" si="5"/>
        <v>0.45454545454545453</v>
      </c>
      <c r="W12" s="8">
        <f t="shared" si="5"/>
        <v>0.45454545454545453</v>
      </c>
    </row>
    <row r="13" spans="1:27" ht="15.75" thickBot="1" x14ac:dyDescent="0.3">
      <c r="A13" s="1">
        <v>3</v>
      </c>
      <c r="B13" s="1" t="s">
        <v>16</v>
      </c>
      <c r="E13" s="13">
        <v>10</v>
      </c>
      <c r="F13" s="13">
        <v>10</v>
      </c>
      <c r="G13" s="13">
        <v>10</v>
      </c>
      <c r="H13" s="13">
        <v>5</v>
      </c>
      <c r="I13" s="13">
        <v>10</v>
      </c>
      <c r="J13" s="13">
        <v>10</v>
      </c>
      <c r="K13" s="13">
        <v>1</v>
      </c>
      <c r="L13" s="13">
        <v>2</v>
      </c>
      <c r="M13" s="13">
        <v>5</v>
      </c>
      <c r="O13" s="8">
        <f t="shared" si="5"/>
        <v>0.38461538461538464</v>
      </c>
      <c r="P13" s="8">
        <f t="shared" si="5"/>
        <v>0.45454545454545453</v>
      </c>
      <c r="Q13" s="8">
        <f t="shared" si="5"/>
        <v>0.4</v>
      </c>
      <c r="R13" s="8">
        <f t="shared" si="5"/>
        <v>0.38461538461538464</v>
      </c>
      <c r="S13" s="8">
        <f t="shared" si="5"/>
        <v>0.33333333333333331</v>
      </c>
      <c r="T13" s="8">
        <f t="shared" si="5"/>
        <v>0.4</v>
      </c>
      <c r="U13" s="8">
        <f t="shared" si="5"/>
        <v>0.33333333333333331</v>
      </c>
      <c r="V13" s="8">
        <f t="shared" si="5"/>
        <v>9.0909090909090912E-2</v>
      </c>
      <c r="W13" s="8">
        <f t="shared" si="5"/>
        <v>0.22727272727272727</v>
      </c>
      <c r="Y13" s="22">
        <f>$C$4*Y$4+$C$5*Y$5+$C$6*Y$6+$C$7*Y$7+$C$8*Y$8</f>
        <v>0.26235665108154227</v>
      </c>
      <c r="Z13" s="23">
        <f t="shared" ref="Z13:AA13" si="6">$C$4*Z$4+$C$5*Z$5+$C$6*Z$6+$C$7*Z$7+$C$8*Z$8</f>
        <v>0.39607210877334242</v>
      </c>
      <c r="AA13" s="24">
        <f t="shared" si="6"/>
        <v>0.34157124014511531</v>
      </c>
    </row>
  </sheetData>
  <mergeCells count="2">
    <mergeCell ref="Y1:AA1"/>
    <mergeCell ref="Y10:AA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ЛБ4</dc:creator>
  <cp:lastModifiedBy>Pavel Lebedev</cp:lastModifiedBy>
  <dcterms:created xsi:type="dcterms:W3CDTF">2015-06-05T18:19:34Z</dcterms:created>
  <dcterms:modified xsi:type="dcterms:W3CDTF">2025-03-22T07:16:01Z</dcterms:modified>
</cp:coreProperties>
</file>